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06"/>
  <workbookPr/>
  <mc:AlternateContent xmlns:mc="http://schemas.openxmlformats.org/markup-compatibility/2006">
    <mc:Choice Requires="x15">
      <x15ac:absPath xmlns:x15ac="http://schemas.microsoft.com/office/spreadsheetml/2010/11/ac" url="https://tud365.sharepoint.com/sites/stud-CS4800-SustainableICT/Gedeelde documenten/General/"/>
    </mc:Choice>
  </mc:AlternateContent>
  <xr:revisionPtr revIDLastSave="0" documentId="8_{50C8BED7-D679-487C-B4A9-A126B85DA036}" xr6:coauthVersionLast="47" xr6:coauthVersionMax="47" xr10:uidLastSave="{00000000-0000-0000-0000-000000000000}"/>
  <bookViews>
    <workbookView xWindow="28680" yWindow="-120" windowWidth="29040" windowHeight="16440" firstSheet="1" activeTab="1" xr2:uid="{1172C34F-1F46-43B9-92EF-666DBCB28265}"/>
  </bookViews>
  <sheets>
    <sheet name="AI" sheetId="1" r:id="rId1"/>
    <sheet name="Software"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 i="1" l="1"/>
  <c r="G2" i="1" s="1"/>
  <c r="F9" i="2"/>
  <c r="G9" i="2" s="1"/>
  <c r="F5" i="2"/>
  <c r="G5" i="2" s="1"/>
  <c r="F2" i="2"/>
  <c r="G2" i="2" s="1"/>
  <c r="F9" i="1"/>
  <c r="G9" i="1" s="1"/>
  <c r="F5" i="1"/>
  <c r="G5" i="1" s="1"/>
  <c r="G11" i="2" l="1"/>
  <c r="F11" i="2"/>
  <c r="F11" i="1"/>
  <c r="G11" i="1"/>
</calcChain>
</file>

<file path=xl/sharedStrings.xml><?xml version="1.0" encoding="utf-8"?>
<sst xmlns="http://schemas.openxmlformats.org/spreadsheetml/2006/main" count="78" uniqueCount="51">
  <si>
    <t>Section/Grade</t>
  </si>
  <si>
    <t>Insufficient: &lt;6</t>
  </si>
  <si>
    <t>Sufficient: 6</t>
  </si>
  <si>
    <t>Good: 7-8</t>
  </si>
  <si>
    <t>Excellent: 9-10</t>
  </si>
  <si>
    <t>Weight</t>
  </si>
  <si>
    <t>Grade</t>
  </si>
  <si>
    <t>Feedback</t>
  </si>
  <si>
    <t>Part 1</t>
  </si>
  <si>
    <t>Training data source selection</t>
  </si>
  <si>
    <t>• selected data source does not exist or is irrelevant to the case given</t>
  </si>
  <si>
    <r>
      <rPr>
        <sz val="11"/>
        <color rgb="FF000000"/>
        <rFont val="Aptos Narrow"/>
        <scheme val="minor"/>
      </rPr>
      <t xml:space="preserve">• necessary techniques to fit data to problem are described in a </t>
    </r>
    <r>
      <rPr>
        <sz val="11"/>
        <color rgb="FF000000"/>
        <rFont val="Aptos Narrow"/>
        <family val="2"/>
        <scheme val="minor"/>
      </rPr>
      <t>vague or hard-to-follow manner, e.g. possible complications not mentioned</t>
    </r>
    <r>
      <rPr>
        <sz val="11"/>
        <color rgb="FF000000"/>
        <rFont val="Aptos Narrow"/>
        <scheme val="minor"/>
      </rPr>
      <t xml:space="preserve">
</t>
    </r>
    <r>
      <rPr>
        <sz val="11"/>
        <color rgb="FF000000"/>
        <rFont val="Aptos Narrow"/>
        <family val="2"/>
        <scheme val="minor"/>
      </rPr>
      <t>• one feasible technique to make dataset collection sustainable is described in a vague or hard-to-follow manner, e.g. only one dimension of sustainability addressed</t>
    </r>
  </si>
  <si>
    <t>• necessary techniques to fit data to problem are described in a clear way, with minor gaps in detail or organization
• one feasible technique to make dataset collection sustainable is described in a clear way, with minor gaps in detail or organization</t>
  </si>
  <si>
    <t>• necessary techniques to fit data to problem are described sufficiently so as to be independently replicated, e.g. all possible complications are addrressed
• one feasible technique to make dataset collection sustainable is described in a clear and complete way, e.g. all dimensions of sustainability addressed</t>
  </si>
  <si>
    <t>Training/Deployment  strategy design</t>
  </si>
  <si>
    <t>• selected model architecture or hardware configuration cannot be used with selected data</t>
  </si>
  <si>
    <t>• model architecture or hardware configuration that reduce training and deployment resources are described in a vague or hard-to-follow manner, e.g. necessary adaptations for data not discussed
• trade-offs between options for model architecture or hardware configuration (i.e. choosing neuromorphic chips provides edge processing capabilities while increasing cost and decreasing accuracy) are justified in a vague or hard-to-follow manner, e.g. inaccuracies in the strengths and weaknesses presented</t>
  </si>
  <si>
    <t>• model architecture or hardware configuration that reduce training and deployment resources are described in a clear way, with minor gaps in detail or organization, e.g. small unmentioned but addressable discrepancies between data and model
• trade-offs between options for model architecture or hardware configuration are justified in a clear way, with minor gaps in detail or organization
• initial foray into hyperparameter tuning, e.g. necessary hyperparameters mentioned in short</t>
  </si>
  <si>
    <t>• model architecture or hardware configuration that reduce training and deployment resources are described in a clear and complete way, e.g. strategy could be implemented in the real world as described
• trade-offs between options for model architecture or hardware configuration are justified in a clear and complete way, leaving no room for questions about suitability of chosen strategy
• hyperparameter tuning is described in a clear and complete way, e.g. effect, importance, and current literature heuristics presented</t>
  </si>
  <si>
    <t>Part 2</t>
  </si>
  <si>
    <t>System boundary definition</t>
  </si>
  <si>
    <r>
      <rPr>
        <sz val="11"/>
        <color theme="1"/>
        <rFont val="Aptos Narrow"/>
        <family val="2"/>
      </rPr>
      <t xml:space="preserve">• </t>
    </r>
    <r>
      <rPr>
        <sz val="11"/>
        <color theme="1"/>
        <rFont val="Aptos Narrow"/>
        <family val="2"/>
        <scheme val="minor"/>
      </rPr>
      <t>system boundary definition missing, or spatially/temporally incongruent</t>
    </r>
  </si>
  <si>
    <t>• spatial and temporal system boundary defined in a vague or hard-to-follow manner, e.g. discussion of embedded non-operational footprints missing</t>
  </si>
  <si>
    <t>• spatial and temporal system boundary defined in a clear way, with minor gaps in detail or organization e.g. qualitative discussion or exclusion of embedded non-operational footprints</t>
  </si>
  <si>
    <t>• spatial and temporal system boundary defined in a clear and complete way, e.g. quantitatively assess embedded non-operational footprints, or provide detailed qualitative discussion, or provide justification for exclusion based on literature</t>
  </si>
  <si>
    <t>Environmental footprint estimation</t>
  </si>
  <si>
    <t>• environmental footprint estimate missing, or results provided without explaining method, or no assumptions provided</t>
  </si>
  <si>
    <t>• method explained in a vague or hard-to-follow manner, e.g. calculation of carbon intensity involves steps being skipped
• some assumptions missing or explained in a vague or hard-to-follow manner, e.g. different water usage efficiency per season</t>
  </si>
  <si>
    <t>• method explained in a clear way, with minor gaps in detail or organization
• assumptions documented in a clear way, with minor gaps in detail or organization</t>
  </si>
  <si>
    <t>• method explained sufficiently so as to be independently replicated 
• all assumptions documented sufficiently so as to be independently replicated
• where appropriate, estimates have detailed temporal resolutions (calculations are per time interval, i.e. hourly, seasonal)</t>
  </si>
  <si>
    <t>Sensitivity analysis</t>
  </si>
  <si>
    <t>• sensitivity analysis missing, or results provided without explaining method, or justification for selection of parameters missing</t>
  </si>
  <si>
    <t>• method explained in a vague or hard-to-follow manner, e.g. unclear which ranges apply to which parameters
• selection of parameters justified in a vague or hard-to-follow manner, e.g. a single general explanation for all parameters</t>
  </si>
  <si>
    <t>• method explained in a clear way, with minor gaps in detail or organization
• clear justification presented for selection of each parameter, with minor gaps in detail or organization</t>
  </si>
  <si>
    <t>• sensitivity to more than two parameters analyzed
• method explained sufficiently so as to be independently replicated 
• clear and complete justification presented for selection of each parameter, leaving no room for questions about suitability and representativeness of  parameters</t>
  </si>
  <si>
    <t>Part 3</t>
  </si>
  <si>
    <t>Reflection</t>
  </si>
  <si>
    <t>• reflection missing, or only includes review of steps in design process
• reflection presents assumptions, methods, and results with uncritical attitude, e.g. limitations of methodology missing</t>
  </si>
  <si>
    <t>• reflection includes quantitative figures where appropriate
• reflection treats design process both in steps and holistically
• reflection presents logical caveats of own results, data sources, and methodologies</t>
  </si>
  <si>
    <t>Total</t>
  </si>
  <si>
    <t>Note: all criteria except "Sensitivity analysis" require a passing grade to obtain a passing grade for the assignment. All sub-criteria need to be met to obtain the maximum grade. For the reflection part, a "sufficient" grade implies a 10.</t>
  </si>
  <si>
    <t>Experiment design</t>
  </si>
  <si>
    <t>• designed experiment does not resemble real world server workload, or is not documented sufficiently so as to be understood, or results are presented in an unclear way, e.g. small or dense timeline, chosen scale is misleading with respect to changes and effects</t>
  </si>
  <si>
    <t>• experiment design is documented in a vague or hard-to-follow manner, e.g. not all assumptions are presented, steps are skipped
• representativeness for real-world server workload is justified in a vague or hard-to-follow manner, e.g. through general statements that could apply to other experiments</t>
  </si>
  <si>
    <t>• experiment design is documented in a clear way, with minor gaps in detail or organization
• representativeness for real-world server workload is justified in a clear way, with minor gaps in detail or organization</t>
  </si>
  <si>
    <t>• experiment design is documented sufficiently so as to be independently replicated, e.g. natural language description is practically equivalent to the experiment code
• representativeness for real-world server workload is justified in a clear and complete way, e.g. benchmark is adapted from industry server stress tests</t>
  </si>
  <si>
    <t>JIT optimization</t>
  </si>
  <si>
    <t>• JIT is not used, or use is not documented sufficiently so as to be understood, or JIT results are presented in an unclear way, e.g. small or dense timeline, chosen scale is misleading with respect to changes and effects</t>
  </si>
  <si>
    <t>• JIT performance impacts are presented and explained in a vague or hard-to-follow manner, e.g. explanations for performance increases are logical, but based on uncertain premises</t>
  </si>
  <si>
    <t>• JIT performance impacts are presented and explained in a clear way, with minor gaps in detail or organization, e.g. snippets of code versions are used to compare changes
• code changes related to JIT implementation that improve performance result from naive attempts, e.g. through trial and error testing</t>
  </si>
  <si>
    <t>• JIT performance impacts are presented and explained in a clear and complete way, e.g. with references from documentation
• code changes related to JIT implementation that improve performance result from either abstract reasoning or deep understanding of the experiment or both, e.g. implementing changes that address stress hotspots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</si>
</sst>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Aptos Narrow"/>
      <family val="2"/>
      <scheme val="minor"/>
    </font>
    <font>
      <b/>
      <sz val="11"/>
      <color theme="0"/>
      <name val="Aptos Narrow"/>
      <family val="2"/>
      <scheme val="minor"/>
    </font>
    <font>
      <b/>
      <sz val="11"/>
      <color theme="1"/>
      <name val="Aptos Narrow"/>
      <family val="2"/>
      <scheme val="minor"/>
    </font>
    <font>
      <sz val="11"/>
      <color theme="0"/>
      <name val="Aptos Narrow"/>
      <family val="2"/>
      <scheme val="minor"/>
    </font>
    <font>
      <sz val="11"/>
      <color theme="1"/>
      <name val="Aptos Narrow"/>
      <family val="2"/>
    </font>
    <font>
      <sz val="11"/>
      <color rgb="FF000000"/>
      <name val="Aptos Narrow"/>
      <scheme val="minor"/>
    </font>
    <font>
      <sz val="11"/>
      <name val="Aptos Narrow"/>
      <family val="2"/>
      <scheme val="minor"/>
    </font>
    <font>
      <sz val="12"/>
      <name val="Aptos Narrow"/>
      <family val="2"/>
      <scheme val="minor"/>
    </font>
    <font>
      <sz val="11"/>
      <color rgb="FF000000"/>
      <name val="Aptos Narrow"/>
      <family val="2"/>
      <scheme val="minor"/>
    </font>
  </fonts>
  <fills count="7">
    <fill>
      <patternFill patternType="none"/>
    </fill>
    <fill>
      <patternFill patternType="gray125"/>
    </fill>
    <fill>
      <patternFill patternType="solid">
        <fgColor rgb="FFD22604"/>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theme="7" tint="0.39997558519241921"/>
        <bgColor indexed="64"/>
      </patternFill>
    </fill>
    <fill>
      <patternFill patternType="solid">
        <fgColor theme="1"/>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41">
    <xf numFmtId="0" fontId="0" fillId="0" borderId="0" xfId="0"/>
    <xf numFmtId="0" fontId="2" fillId="0" borderId="1" xfId="0" applyFont="1" applyBorder="1" applyAlignment="1">
      <alignment vertical="top"/>
    </xf>
    <xf numFmtId="0" fontId="1" fillId="6" borderId="1" xfId="0" applyFont="1" applyFill="1" applyBorder="1" applyAlignment="1">
      <alignment horizontal="left" vertical="top"/>
    </xf>
    <xf numFmtId="0" fontId="3" fillId="6" borderId="1" xfId="0" applyFont="1" applyFill="1" applyBorder="1" applyAlignment="1">
      <alignment vertical="top"/>
    </xf>
    <xf numFmtId="0" fontId="0" fillId="0" borderId="1" xfId="0" applyBorder="1" applyAlignment="1">
      <alignment vertical="top" wrapText="1"/>
    </xf>
    <xf numFmtId="0" fontId="2" fillId="0" borderId="1" xfId="0" applyFont="1" applyBorder="1" applyAlignment="1">
      <alignment horizontal="left" vertical="center"/>
    </xf>
    <xf numFmtId="0" fontId="2" fillId="0" borderId="1" xfId="0" applyFont="1" applyBorder="1" applyAlignment="1">
      <alignment vertical="center"/>
    </xf>
    <xf numFmtId="0" fontId="3" fillId="6" borderId="1" xfId="0" applyFont="1" applyFill="1" applyBorder="1" applyAlignment="1">
      <alignment vertical="top" wrapText="1"/>
    </xf>
    <xf numFmtId="0" fontId="2" fillId="0" borderId="1" xfId="0" applyFont="1" applyBorder="1"/>
    <xf numFmtId="10" fontId="3" fillId="6" borderId="1" xfId="0" applyNumberFormat="1" applyFont="1" applyFill="1" applyBorder="1"/>
    <xf numFmtId="0" fontId="3" fillId="6" borderId="1" xfId="0" applyFont="1" applyFill="1" applyBorder="1"/>
    <xf numFmtId="10" fontId="0" fillId="0" borderId="1" xfId="0" applyNumberFormat="1" applyBorder="1"/>
    <xf numFmtId="0" fontId="0" fillId="0" borderId="1" xfId="0" applyBorder="1"/>
    <xf numFmtId="10" fontId="0" fillId="0" borderId="2" xfId="0" applyNumberFormat="1" applyBorder="1"/>
    <xf numFmtId="0" fontId="0" fillId="0" borderId="2" xfId="0" applyBorder="1"/>
    <xf numFmtId="10" fontId="1" fillId="6" borderId="1" xfId="0" applyNumberFormat="1" applyFont="1" applyFill="1" applyBorder="1"/>
    <xf numFmtId="0" fontId="1" fillId="6" borderId="1" xfId="0" applyFont="1" applyFill="1" applyBorder="1"/>
    <xf numFmtId="0" fontId="0" fillId="0" borderId="1" xfId="0" applyBorder="1" applyAlignment="1">
      <alignment wrapText="1"/>
    </xf>
    <xf numFmtId="0" fontId="2" fillId="0" borderId="1" xfId="0" applyFont="1" applyBorder="1" applyAlignment="1">
      <alignment vertical="top" wrapText="1"/>
    </xf>
    <xf numFmtId="0" fontId="2" fillId="2" borderId="1" xfId="0" applyFont="1" applyFill="1" applyBorder="1" applyAlignment="1">
      <alignment vertical="top" wrapText="1"/>
    </xf>
    <xf numFmtId="0" fontId="2" fillId="3" borderId="1" xfId="0" applyFont="1" applyFill="1" applyBorder="1" applyAlignment="1">
      <alignment vertical="top" wrapText="1"/>
    </xf>
    <xf numFmtId="0" fontId="2" fillId="4" borderId="1" xfId="0" applyFont="1" applyFill="1" applyBorder="1" applyAlignment="1">
      <alignment vertical="top" wrapText="1"/>
    </xf>
    <xf numFmtId="0" fontId="2" fillId="5" borderId="1" xfId="0" applyFont="1" applyFill="1" applyBorder="1" applyAlignment="1">
      <alignment vertical="top" wrapText="1"/>
    </xf>
    <xf numFmtId="0" fontId="2" fillId="0" borderId="1" xfId="0" applyFont="1" applyBorder="1" applyAlignment="1">
      <alignment wrapText="1"/>
    </xf>
    <xf numFmtId="0" fontId="0" fillId="0" borderId="0" xfId="0" applyAlignment="1">
      <alignment wrapText="1"/>
    </xf>
    <xf numFmtId="0" fontId="1" fillId="6" borderId="1" xfId="0" applyFont="1" applyFill="1" applyBorder="1" applyAlignment="1">
      <alignment horizontal="left" vertical="top" wrapText="1"/>
    </xf>
    <xf numFmtId="10" fontId="3" fillId="6" borderId="1" xfId="0" applyNumberFormat="1" applyFont="1" applyFill="1" applyBorder="1" applyAlignment="1">
      <alignment wrapText="1"/>
    </xf>
    <xf numFmtId="0" fontId="3" fillId="6" borderId="1" xfId="0" applyFont="1" applyFill="1" applyBorder="1" applyAlignment="1">
      <alignment wrapText="1"/>
    </xf>
    <xf numFmtId="0" fontId="2" fillId="0" borderId="1" xfId="0" applyFont="1" applyBorder="1" applyAlignment="1">
      <alignment horizontal="left" vertical="center" wrapText="1"/>
    </xf>
    <xf numFmtId="10" fontId="0" fillId="0" borderId="1" xfId="0" applyNumberFormat="1" applyBorder="1" applyAlignment="1">
      <alignment wrapText="1"/>
    </xf>
    <xf numFmtId="0" fontId="2" fillId="0" borderId="1" xfId="0" applyFont="1" applyBorder="1" applyAlignment="1">
      <alignment vertical="center" wrapText="1"/>
    </xf>
    <xf numFmtId="10" fontId="0" fillId="0" borderId="2" xfId="0" applyNumberFormat="1" applyBorder="1" applyAlignment="1">
      <alignment wrapText="1"/>
    </xf>
    <xf numFmtId="0" fontId="0" fillId="0" borderId="2" xfId="0" applyBorder="1" applyAlignment="1">
      <alignment wrapText="1"/>
    </xf>
    <xf numFmtId="0" fontId="1" fillId="6" borderId="1" xfId="0" applyFont="1" applyFill="1" applyBorder="1" applyAlignment="1">
      <alignment wrapText="1"/>
    </xf>
    <xf numFmtId="10" fontId="1" fillId="6" borderId="1" xfId="0" applyNumberFormat="1" applyFont="1" applyFill="1" applyBorder="1" applyAlignment="1">
      <alignment wrapText="1"/>
    </xf>
    <xf numFmtId="0" fontId="6" fillId="0" borderId="1" xfId="0" applyFont="1" applyBorder="1" applyAlignment="1">
      <alignment vertical="top" wrapText="1"/>
    </xf>
    <xf numFmtId="0" fontId="7" fillId="0" borderId="0" xfId="0" applyFont="1"/>
    <xf numFmtId="0" fontId="8" fillId="0" borderId="1" xfId="0" applyFont="1" applyBorder="1" applyAlignment="1">
      <alignment vertical="top" wrapText="1"/>
    </xf>
    <xf numFmtId="0" fontId="0" fillId="0" borderId="3" xfId="0" applyBorder="1" applyAlignment="1">
      <alignment horizontal="left" vertical="top" wrapText="1" indent="35"/>
    </xf>
    <xf numFmtId="0" fontId="0" fillId="0" borderId="4" xfId="0" applyBorder="1" applyAlignment="1">
      <alignment horizontal="left" vertical="top" wrapText="1" indent="35"/>
    </xf>
    <xf numFmtId="0" fontId="0" fillId="0" borderId="5" xfId="0" applyBorder="1" applyAlignment="1">
      <alignment horizontal="left" vertical="top" wrapText="1" indent="35"/>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5D91DA-939B-4F92-9315-920C249F29BD}">
  <dimension ref="A1:H13"/>
  <sheetViews>
    <sheetView topLeftCell="A4" zoomScaleNormal="100" workbookViewId="0">
      <selection activeCell="B7" sqref="B7"/>
    </sheetView>
  </sheetViews>
  <sheetFormatPr defaultColWidth="9.140625" defaultRowHeight="14.45"/>
  <cols>
    <col min="1" max="1" width="32.42578125" style="24" bestFit="1" customWidth="1"/>
    <col min="2" max="5" width="44.42578125" style="24" customWidth="1"/>
    <col min="6" max="6" width="9.140625" style="24" bestFit="1" customWidth="1"/>
    <col min="7" max="7" width="9.140625" style="24"/>
    <col min="8" max="8" width="44.42578125" style="24" customWidth="1"/>
    <col min="9" max="16384" width="9.140625" style="24"/>
  </cols>
  <sheetData>
    <row r="1" spans="1:8">
      <c r="A1" s="18" t="s">
        <v>0</v>
      </c>
      <c r="B1" s="19" t="s">
        <v>1</v>
      </c>
      <c r="C1" s="20" t="s">
        <v>2</v>
      </c>
      <c r="D1" s="21" t="s">
        <v>3</v>
      </c>
      <c r="E1" s="22" t="s">
        <v>4</v>
      </c>
      <c r="F1" s="23" t="s">
        <v>5</v>
      </c>
      <c r="G1" s="23" t="s">
        <v>6</v>
      </c>
      <c r="H1" s="23" t="s">
        <v>7</v>
      </c>
    </row>
    <row r="2" spans="1:8">
      <c r="A2" s="25" t="s">
        <v>8</v>
      </c>
      <c r="B2" s="7"/>
      <c r="C2" s="7"/>
      <c r="D2" s="7"/>
      <c r="E2" s="7"/>
      <c r="F2" s="26">
        <f>SUM(F3:F4)</f>
        <v>0.35</v>
      </c>
      <c r="G2" s="27">
        <f>(F3*G3+F4*G4)/F2</f>
        <v>0</v>
      </c>
      <c r="H2" s="17"/>
    </row>
    <row r="3" spans="1:8" ht="138" customHeight="1">
      <c r="A3" s="28" t="s">
        <v>9</v>
      </c>
      <c r="B3" s="4" t="s">
        <v>10</v>
      </c>
      <c r="C3" s="37" t="s">
        <v>11</v>
      </c>
      <c r="D3" s="35" t="s">
        <v>12</v>
      </c>
      <c r="E3" s="35" t="s">
        <v>13</v>
      </c>
      <c r="F3" s="29">
        <v>0.1</v>
      </c>
      <c r="G3" s="17"/>
      <c r="H3" s="17"/>
    </row>
    <row r="4" spans="1:8" ht="275.25" customHeight="1">
      <c r="A4" s="28" t="s">
        <v>14</v>
      </c>
      <c r="B4" s="4" t="s">
        <v>15</v>
      </c>
      <c r="C4" s="35" t="s">
        <v>16</v>
      </c>
      <c r="D4" s="35" t="s">
        <v>17</v>
      </c>
      <c r="E4" s="35" t="s">
        <v>18</v>
      </c>
      <c r="F4" s="29">
        <v>0.25</v>
      </c>
      <c r="G4" s="17"/>
      <c r="H4" s="17"/>
    </row>
    <row r="5" spans="1:8">
      <c r="A5" s="25" t="s">
        <v>19</v>
      </c>
      <c r="B5" s="7"/>
      <c r="C5" s="7"/>
      <c r="D5" s="7"/>
      <c r="E5" s="7"/>
      <c r="F5" s="26">
        <f>SUM(F6:F8)</f>
        <v>0.55000000000000004</v>
      </c>
      <c r="G5" s="27">
        <f>(F6*G6+F7*G7+F8*G8)/F5</f>
        <v>0</v>
      </c>
      <c r="H5" s="17"/>
    </row>
    <row r="6" spans="1:8" ht="88.15" customHeight="1">
      <c r="A6" s="28" t="s">
        <v>20</v>
      </c>
      <c r="B6" s="4" t="s">
        <v>21</v>
      </c>
      <c r="C6" s="4" t="s">
        <v>22</v>
      </c>
      <c r="D6" s="4" t="s">
        <v>23</v>
      </c>
      <c r="E6" s="4" t="s">
        <v>24</v>
      </c>
      <c r="F6" s="29">
        <v>0.05</v>
      </c>
      <c r="G6" s="17"/>
      <c r="H6" s="17"/>
    </row>
    <row r="7" spans="1:8" ht="100.9">
      <c r="A7" s="30" t="s">
        <v>25</v>
      </c>
      <c r="B7" s="4" t="s">
        <v>26</v>
      </c>
      <c r="C7" s="4" t="s">
        <v>27</v>
      </c>
      <c r="D7" s="4" t="s">
        <v>28</v>
      </c>
      <c r="E7" s="4" t="s">
        <v>29</v>
      </c>
      <c r="F7" s="29">
        <v>0.45</v>
      </c>
      <c r="G7" s="17"/>
      <c r="H7" s="17"/>
    </row>
    <row r="8" spans="1:8" ht="104.45" customHeight="1">
      <c r="A8" s="30" t="s">
        <v>30</v>
      </c>
      <c r="B8" s="4" t="s">
        <v>31</v>
      </c>
      <c r="C8" s="4" t="s">
        <v>32</v>
      </c>
      <c r="D8" s="4" t="s">
        <v>33</v>
      </c>
      <c r="E8" s="4" t="s">
        <v>34</v>
      </c>
      <c r="F8" s="29">
        <v>0.05</v>
      </c>
      <c r="G8" s="17"/>
      <c r="H8" s="17"/>
    </row>
    <row r="9" spans="1:8">
      <c r="A9" s="25" t="s">
        <v>35</v>
      </c>
      <c r="B9" s="7"/>
      <c r="C9" s="7"/>
      <c r="D9" s="7"/>
      <c r="E9" s="7"/>
      <c r="F9" s="26">
        <f>SUM(F10)</f>
        <v>0.1</v>
      </c>
      <c r="G9" s="27">
        <f>F10*G10/F9</f>
        <v>0</v>
      </c>
      <c r="H9" s="17"/>
    </row>
    <row r="10" spans="1:8" ht="76.150000000000006" customHeight="1">
      <c r="A10" s="28" t="s">
        <v>36</v>
      </c>
      <c r="B10" s="4" t="s">
        <v>37</v>
      </c>
      <c r="C10" s="38" t="s">
        <v>38</v>
      </c>
      <c r="D10" s="39"/>
      <c r="E10" s="40"/>
      <c r="F10" s="31">
        <v>0.1</v>
      </c>
      <c r="G10" s="32"/>
      <c r="H10" s="17"/>
    </row>
    <row r="11" spans="1:8">
      <c r="E11" s="33" t="s">
        <v>39</v>
      </c>
      <c r="F11" s="34">
        <f>SUM(F2, F5, F9)</f>
        <v>1</v>
      </c>
      <c r="G11" s="33">
        <f>F2*G2+F5*G5+F9*G9</f>
        <v>0</v>
      </c>
      <c r="H11" s="17"/>
    </row>
    <row r="13" spans="1:8" ht="15.6">
      <c r="B13" s="36" t="s">
        <v>40</v>
      </c>
    </row>
  </sheetData>
  <mergeCells count="1">
    <mergeCell ref="C10:E1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9C10EB-C8E5-4744-B0E6-F8E1DBE94883}">
  <dimension ref="A1:H13"/>
  <sheetViews>
    <sheetView tabSelected="1" topLeftCell="A4" zoomScaleNormal="100" workbookViewId="0">
      <selection activeCell="B17" sqref="B17"/>
    </sheetView>
  </sheetViews>
  <sheetFormatPr defaultRowHeight="14.45"/>
  <cols>
    <col min="1" max="1" width="32.42578125" bestFit="1" customWidth="1"/>
    <col min="2" max="5" width="44.42578125" customWidth="1"/>
    <col min="8" max="8" width="44.42578125" customWidth="1"/>
  </cols>
  <sheetData>
    <row r="1" spans="1:8">
      <c r="A1" s="1" t="s">
        <v>0</v>
      </c>
      <c r="F1" s="8" t="s">
        <v>5</v>
      </c>
      <c r="G1" s="8" t="s">
        <v>6</v>
      </c>
      <c r="H1" s="8" t="s">
        <v>7</v>
      </c>
    </row>
    <row r="2" spans="1:8">
      <c r="A2" s="2" t="s">
        <v>8</v>
      </c>
      <c r="B2" s="3"/>
      <c r="C2" s="3"/>
      <c r="D2" s="3"/>
      <c r="E2" s="3"/>
      <c r="F2" s="9">
        <f>SUM(F3:F4)</f>
        <v>0.5</v>
      </c>
      <c r="G2" s="10">
        <f>(F3*G3+F4*G4)/F2</f>
        <v>0</v>
      </c>
      <c r="H2" s="17"/>
    </row>
    <row r="3" spans="1:8" ht="222" customHeight="1">
      <c r="A3" s="5" t="s">
        <v>41</v>
      </c>
      <c r="B3" s="37" t="s">
        <v>42</v>
      </c>
      <c r="C3" s="37" t="s">
        <v>43</v>
      </c>
      <c r="D3" s="35" t="s">
        <v>44</v>
      </c>
      <c r="E3" s="35" t="s">
        <v>45</v>
      </c>
      <c r="F3" s="11">
        <v>0.35</v>
      </c>
      <c r="G3" s="12"/>
      <c r="H3" s="17"/>
    </row>
    <row r="4" spans="1:8" ht="207.75" customHeight="1">
      <c r="A4" s="5" t="s">
        <v>46</v>
      </c>
      <c r="B4" s="37" t="s">
        <v>47</v>
      </c>
      <c r="C4" s="37" t="s">
        <v>48</v>
      </c>
      <c r="D4" s="37" t="s">
        <v>49</v>
      </c>
      <c r="E4" s="37" t="s">
        <v>50</v>
      </c>
      <c r="F4" s="11">
        <v>0.15</v>
      </c>
      <c r="G4" s="12"/>
      <c r="H4" s="17"/>
    </row>
    <row r="5" spans="1:8">
      <c r="A5" s="2" t="s">
        <v>19</v>
      </c>
      <c r="B5" s="3"/>
      <c r="C5" s="3"/>
      <c r="D5" s="3"/>
      <c r="E5" s="3"/>
      <c r="F5" s="9">
        <f>SUM(F6:F8)</f>
        <v>0.39999999999999997</v>
      </c>
      <c r="G5" s="10">
        <f>(F6*G6+F7*G7+F8*G8)/F5</f>
        <v>0</v>
      </c>
      <c r="H5" s="17"/>
    </row>
    <row r="6" spans="1:8" ht="72">
      <c r="A6" s="5" t="s">
        <v>20</v>
      </c>
      <c r="B6" s="4" t="s">
        <v>21</v>
      </c>
      <c r="C6" s="4" t="s">
        <v>22</v>
      </c>
      <c r="D6" s="4" t="s">
        <v>23</v>
      </c>
      <c r="E6" s="4" t="s">
        <v>24</v>
      </c>
      <c r="F6" s="11">
        <v>0.05</v>
      </c>
      <c r="G6" s="12"/>
      <c r="H6" s="17"/>
    </row>
    <row r="7" spans="1:8" ht="100.9">
      <c r="A7" s="6" t="s">
        <v>25</v>
      </c>
      <c r="B7" s="4" t="s">
        <v>26</v>
      </c>
      <c r="C7" s="4" t="s">
        <v>27</v>
      </c>
      <c r="D7" s="4" t="s">
        <v>28</v>
      </c>
      <c r="E7" s="4" t="s">
        <v>29</v>
      </c>
      <c r="F7" s="11">
        <v>0.3</v>
      </c>
      <c r="G7" s="12"/>
      <c r="H7" s="17"/>
    </row>
    <row r="8" spans="1:8" ht="100.9">
      <c r="A8" s="6" t="s">
        <v>30</v>
      </c>
      <c r="B8" s="4" t="s">
        <v>31</v>
      </c>
      <c r="C8" s="4" t="s">
        <v>32</v>
      </c>
      <c r="D8" s="4" t="s">
        <v>33</v>
      </c>
      <c r="E8" s="4" t="s">
        <v>34</v>
      </c>
      <c r="F8" s="11">
        <v>0.05</v>
      </c>
      <c r="G8" s="12"/>
      <c r="H8" s="17"/>
    </row>
    <row r="9" spans="1:8">
      <c r="A9" s="2" t="s">
        <v>35</v>
      </c>
      <c r="B9" s="7"/>
      <c r="C9" s="7"/>
      <c r="D9" s="7"/>
      <c r="E9" s="7"/>
      <c r="F9" s="9">
        <f>SUM(F10)</f>
        <v>0.1</v>
      </c>
      <c r="G9" s="10">
        <f>F10*G10/F9</f>
        <v>0</v>
      </c>
      <c r="H9" s="17"/>
    </row>
    <row r="10" spans="1:8" ht="72">
      <c r="A10" s="5" t="s">
        <v>36</v>
      </c>
      <c r="B10" s="4" t="s">
        <v>37</v>
      </c>
      <c r="C10" s="38" t="s">
        <v>38</v>
      </c>
      <c r="D10" s="39"/>
      <c r="E10" s="40"/>
      <c r="F10" s="13">
        <v>0.1</v>
      </c>
      <c r="G10" s="14"/>
      <c r="H10" s="17"/>
    </row>
    <row r="11" spans="1:8">
      <c r="E11" s="16" t="s">
        <v>39</v>
      </c>
      <c r="F11" s="15">
        <f>SUM(F2, F5, F9)</f>
        <v>0.99999999999999989</v>
      </c>
      <c r="G11" s="16">
        <f>F2*G2+F5*G5+F9*G9</f>
        <v>0</v>
      </c>
      <c r="H11" s="17"/>
    </row>
    <row r="12" spans="1:8">
      <c r="H12" s="17"/>
    </row>
    <row r="13" spans="1:8" ht="15.6">
      <c r="B13" s="36" t="s">
        <v>40</v>
      </c>
    </row>
  </sheetData>
  <mergeCells count="1">
    <mergeCell ref="C10:E10"/>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6361CC30A796B45889DA9F9E9E6F319" ma:contentTypeVersion="4" ma:contentTypeDescription="Een nieuw document maken." ma:contentTypeScope="" ma:versionID="33f50aab023f53500675ccc222439b76">
  <xsd:schema xmlns:xsd="http://www.w3.org/2001/XMLSchema" xmlns:xs="http://www.w3.org/2001/XMLSchema" xmlns:p="http://schemas.microsoft.com/office/2006/metadata/properties" xmlns:ns2="b500b7ef-b990-41a2-bdb4-ae3802c569fe" targetNamespace="http://schemas.microsoft.com/office/2006/metadata/properties" ma:root="true" ma:fieldsID="a41cdd34851ef5004a4015d3774933e2" ns2:_="">
    <xsd:import namespace="b500b7ef-b990-41a2-bdb4-ae3802c569f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500b7ef-b990-41a2-bdb4-ae3802c569f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BillingMetadata" ma:index="11"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0D462F1-F2A3-4AE6-A472-4A62B656CC6F}"/>
</file>

<file path=customXml/itemProps2.xml><?xml version="1.0" encoding="utf-8"?>
<ds:datastoreItem xmlns:ds="http://schemas.openxmlformats.org/officeDocument/2006/customXml" ds:itemID="{D81DB541-4FCE-4FD3-94CA-D363D3702FA6}"/>
</file>

<file path=customXml/itemProps3.xml><?xml version="1.0" encoding="utf-8"?>
<ds:datastoreItem xmlns:ds="http://schemas.openxmlformats.org/officeDocument/2006/customXml" ds:itemID="{51546482-E49B-48BF-8D1D-088803DCFEF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 Nedelcu</dc:creator>
  <cp:keywords/>
  <dc:description/>
  <cp:lastModifiedBy/>
  <cp:revision/>
  <dcterms:created xsi:type="dcterms:W3CDTF">2025-09-14T15:05:48Z</dcterms:created>
  <dcterms:modified xsi:type="dcterms:W3CDTF">2025-10-14T12:58:58Z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0x01010006361CC30A796B45889DA9F9E9E6F319</vt:lpwstr>
  </property>
</Properties>
</file>